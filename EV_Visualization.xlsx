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esh\Downloads\"/>
    </mc:Choice>
  </mc:AlternateContent>
  <xr:revisionPtr revIDLastSave="0" documentId="13_ncr:1_{7D82439F-3917-4386-A661-A373D5BDDFBA}" xr6:coauthVersionLast="47" xr6:coauthVersionMax="47" xr10:uidLastSave="{00000000-0000-0000-0000-000000000000}"/>
  <bookViews>
    <workbookView xWindow="-96" yWindow="0" windowWidth="11712" windowHeight="12336" firstSheet="5" activeTab="5" xr2:uid="{E5193EBC-535B-431A-8108-A4AFFEB91578}"/>
  </bookViews>
  <sheets>
    <sheet name="vehicle_types_india" sheetId="7" r:id="rId1"/>
    <sheet name="highest_range_ev" sheetId="6" r:id="rId2"/>
    <sheet name="station_types" sheetId="5" r:id="rId3"/>
    <sheet name="region_wise_stations" sheetId="4" r:id="rId4"/>
    <sheet name="top10_range" sheetId="3" r:id="rId5"/>
    <sheet name="brand_wise_cars" sheetId="2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6" l="1"/>
  <c r="C3" i="6"/>
  <c r="C4" i="6"/>
  <c r="C5" i="6"/>
  <c r="C6" i="6"/>
  <c r="C7" i="6"/>
  <c r="C8" i="6"/>
  <c r="C9" i="6"/>
  <c r="C10" i="6"/>
  <c r="C11" i="6"/>
</calcChain>
</file>

<file path=xl/sharedStrings.xml><?xml version="1.0" encoding="utf-8"?>
<sst xmlns="http://schemas.openxmlformats.org/spreadsheetml/2006/main" count="76" uniqueCount="66">
  <si>
    <t xml:space="preserve">Mercedes </t>
  </si>
  <si>
    <t xml:space="preserve">Ford </t>
  </si>
  <si>
    <t xml:space="preserve">BMW </t>
  </si>
  <si>
    <t xml:space="preserve">Kia </t>
  </si>
  <si>
    <t xml:space="preserve">Porsche </t>
  </si>
  <si>
    <t xml:space="preserve">Skoda </t>
  </si>
  <si>
    <t xml:space="preserve">Nissan </t>
  </si>
  <si>
    <t xml:space="preserve">Volkswagen </t>
  </si>
  <si>
    <t xml:space="preserve">Audi </t>
  </si>
  <si>
    <t xml:space="preserve">Tesla </t>
  </si>
  <si>
    <t>TotalCars</t>
  </si>
  <si>
    <t>Brand</t>
  </si>
  <si>
    <t>Model X Long Range</t>
  </si>
  <si>
    <t>Mustang Mach-E ER RWD</t>
  </si>
  <si>
    <t>Model 3 Long Range Dual Motor</t>
  </si>
  <si>
    <t>Cybertruck Dual Motor</t>
  </si>
  <si>
    <t>Model S Performance</t>
  </si>
  <si>
    <t>Model S Long Range</t>
  </si>
  <si>
    <t xml:space="preserve">One </t>
  </si>
  <si>
    <t xml:space="preserve">Lightyear </t>
  </si>
  <si>
    <t xml:space="preserve">Air </t>
  </si>
  <si>
    <t xml:space="preserve">Lucid </t>
  </si>
  <si>
    <t>Cybertruck Tri Motor</t>
  </si>
  <si>
    <t xml:space="preserve">Roadster </t>
  </si>
  <si>
    <t>Range_Km</t>
  </si>
  <si>
    <t>Model</t>
  </si>
  <si>
    <t>Maha Metro</t>
  </si>
  <si>
    <t>NRANVP</t>
  </si>
  <si>
    <t>ANERT</t>
  </si>
  <si>
    <t>CMRL</t>
  </si>
  <si>
    <t>NKDA</t>
  </si>
  <si>
    <t>SDMC</t>
  </si>
  <si>
    <t>Noida Authority</t>
  </si>
  <si>
    <t>NDMC</t>
  </si>
  <si>
    <t>TotalStations</t>
  </si>
  <si>
    <t>region</t>
  </si>
  <si>
    <t>AC-001</t>
  </si>
  <si>
    <t>CCS/ChADEMO/ Type 2 AC</t>
  </si>
  <si>
    <t>DC-001</t>
  </si>
  <si>
    <t>Total</t>
  </si>
  <si>
    <t>type</t>
  </si>
  <si>
    <t>530 km</t>
  </si>
  <si>
    <t>Lucid Air Touring</t>
  </si>
  <si>
    <t>535 km</t>
  </si>
  <si>
    <t>Tesla Model S Plaid</t>
  </si>
  <si>
    <t>540 km</t>
  </si>
  <si>
    <t>Lucid Air Pure</t>
  </si>
  <si>
    <t>555 km</t>
  </si>
  <si>
    <t>Tesla Model S Long Range</t>
  </si>
  <si>
    <t>575 km</t>
  </si>
  <si>
    <t xml:space="preserve">Lightyear One </t>
  </si>
  <si>
    <t>610 km</t>
  </si>
  <si>
    <t>Mercedes EQS 580 4MATIC</t>
  </si>
  <si>
    <t>640 km</t>
  </si>
  <si>
    <t>Mercedes EQS 450+</t>
  </si>
  <si>
    <t>660 km</t>
  </si>
  <si>
    <t>Lucid Air Grand Touring</t>
  </si>
  <si>
    <t>750 km</t>
  </si>
  <si>
    <t>Tesla Cybertruck Tri Motor</t>
  </si>
  <si>
    <t>970 km</t>
  </si>
  <si>
    <t xml:space="preserve">Tesla Roadster </t>
  </si>
  <si>
    <t>Range_Number</t>
  </si>
  <si>
    <t>Range</t>
  </si>
  <si>
    <t>Name</t>
  </si>
  <si>
    <t>Electric</t>
  </si>
  <si>
    <t>VehicleType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</si>
</sst>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Electric Vehicle Types in India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vehicle_types_india!$B$1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vehicle_types_india!$A$2</c:f>
              <c:strCache>
                <c:ptCount val="1"/>
                <c:pt idx="0">
                  <c:v>Electric</c:v>
                </c:pt>
              </c:strCache>
            </c:strRef>
          </c:cat>
          <c:val>
            <c:numRef>
              <c:f>vehicle_types_india!$B$2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F-4C61-BBFC-453ABE7BE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1007791"/>
        <c:axId val="1951034319"/>
      </c:barChart>
      <c:catAx>
        <c:axId val="186100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034319"/>
        <c:crosses val="autoZero"/>
        <c:auto val="1"/>
        <c:lblAlgn val="ctr"/>
        <c:lblOffset val="100"/>
        <c:noMultiLvlLbl val="0"/>
      </c:catAx>
      <c:valAx>
        <c:axId val="195103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00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highest_range_ev!$A$11</c:f>
              <c:strCache>
                <c:ptCount val="1"/>
                <c:pt idx="0">
                  <c:v>Lucid Air Touring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highest_range_ev!$B$1:$B$10</c:f>
              <c:strCache>
                <c:ptCount val="10"/>
                <c:pt idx="0">
                  <c:v>Range</c:v>
                </c:pt>
                <c:pt idx="1">
                  <c:v>970 km</c:v>
                </c:pt>
                <c:pt idx="2">
                  <c:v>750 km</c:v>
                </c:pt>
                <c:pt idx="3">
                  <c:v>660 km</c:v>
                </c:pt>
                <c:pt idx="4">
                  <c:v>640 km</c:v>
                </c:pt>
                <c:pt idx="5">
                  <c:v>610 km</c:v>
                </c:pt>
                <c:pt idx="6">
                  <c:v>575 km</c:v>
                </c:pt>
                <c:pt idx="7">
                  <c:v>555 km</c:v>
                </c:pt>
                <c:pt idx="8">
                  <c:v>540 km</c:v>
                </c:pt>
                <c:pt idx="9">
                  <c:v>535 km</c:v>
                </c:pt>
              </c:strCache>
            </c:strRef>
          </c:cat>
          <c:val>
            <c:numRef>
              <c:f>highest_range_ev!$B$11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F-4563-860A-E7EBEFCE2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3521999"/>
        <c:axId val="1868052047"/>
      </c:barChart>
      <c:catAx>
        <c:axId val="187352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052047"/>
        <c:crosses val="autoZero"/>
        <c:auto val="1"/>
        <c:lblAlgn val="ctr"/>
        <c:lblOffset val="100"/>
        <c:noMultiLvlLbl val="0"/>
      </c:catAx>
      <c:valAx>
        <c:axId val="186805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52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Highest Range Electric Vehicles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highest_range_ev!$C$1</c:f>
              <c:strCache>
                <c:ptCount val="1"/>
                <c:pt idx="0">
                  <c:v>Range_Number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highest_range_ev!$A$2:$B$11</c15:sqref>
                  </c15:fullRef>
                  <c15:levelRef>
                    <c15:sqref>highest_range_ev!$A$2:$A$11</c15:sqref>
                  </c15:levelRef>
                </c:ext>
              </c:extLst>
              <c:f>highest_range_ev!$A$2:$A$11</c:f>
              <c:strCache>
                <c:ptCount val="10"/>
                <c:pt idx="0">
                  <c:v>Tesla Roadster </c:v>
                </c:pt>
                <c:pt idx="1">
                  <c:v>Tesla Cybertruck Tri Motor</c:v>
                </c:pt>
                <c:pt idx="2">
                  <c:v>Lucid Air Grand Touring</c:v>
                </c:pt>
                <c:pt idx="3">
                  <c:v>Mercedes EQS 450+</c:v>
                </c:pt>
                <c:pt idx="4">
                  <c:v>Mercedes EQS 580 4MATIC</c:v>
                </c:pt>
                <c:pt idx="5">
                  <c:v>Lightyear One </c:v>
                </c:pt>
                <c:pt idx="6">
                  <c:v>Tesla Model S Long Range</c:v>
                </c:pt>
                <c:pt idx="7">
                  <c:v>Lucid Air Pure</c:v>
                </c:pt>
                <c:pt idx="8">
                  <c:v>Tesla Model S Plaid</c:v>
                </c:pt>
                <c:pt idx="9">
                  <c:v>Lucid Air Touring</c:v>
                </c:pt>
              </c:strCache>
            </c:strRef>
          </c:cat>
          <c:val>
            <c:numRef>
              <c:f>highest_range_ev!$C$2:$C$11</c:f>
              <c:numCache>
                <c:formatCode>General</c:formatCode>
                <c:ptCount val="10"/>
                <c:pt idx="0">
                  <c:v>970</c:v>
                </c:pt>
                <c:pt idx="1">
                  <c:v>750</c:v>
                </c:pt>
                <c:pt idx="2">
                  <c:v>660</c:v>
                </c:pt>
                <c:pt idx="3">
                  <c:v>640</c:v>
                </c:pt>
                <c:pt idx="4">
                  <c:v>610</c:v>
                </c:pt>
                <c:pt idx="5">
                  <c:v>575</c:v>
                </c:pt>
                <c:pt idx="6">
                  <c:v>555</c:v>
                </c:pt>
                <c:pt idx="7">
                  <c:v>540</c:v>
                </c:pt>
                <c:pt idx="8">
                  <c:v>535</c:v>
                </c:pt>
                <c:pt idx="9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A-4185-B5BF-CD600D6F7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1479807"/>
        <c:axId val="1493501999"/>
      </c:barChart>
      <c:catAx>
        <c:axId val="1951479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501999"/>
        <c:crosses val="autoZero"/>
        <c:auto val="1"/>
        <c:lblAlgn val="ctr"/>
        <c:lblOffset val="100"/>
        <c:noMultiLvlLbl val="0"/>
      </c:catAx>
      <c:valAx>
        <c:axId val="149350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47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Charging</a:t>
            </a:r>
            <a:r>
              <a:rPr lang="en-US" baseline="0"/>
              <a:t> StationTypes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station_types!$B$1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F7-4F8F-862C-63E1EC3E9B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F7-4F8F-862C-63E1EC3E9B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F7-4F8F-862C-63E1EC3E9B84}"/>
              </c:ext>
            </c:extLst>
          </c:dPt>
          <c:cat>
            <c:strRef>
              <c:f>station_types!$A$2:$A$4</c:f>
              <c:strCache>
                <c:ptCount val="3"/>
                <c:pt idx="0">
                  <c:v>DC-001</c:v>
                </c:pt>
                <c:pt idx="1">
                  <c:v>CCS/ChADEMO/ Type 2 AC</c:v>
                </c:pt>
                <c:pt idx="2">
                  <c:v>AC-001</c:v>
                </c:pt>
              </c:strCache>
            </c:strRef>
          </c:cat>
          <c:val>
            <c:numRef>
              <c:f>station_types!$B$2:$B$4</c:f>
              <c:numCache>
                <c:formatCode>General</c:formatCode>
                <c:ptCount val="3"/>
                <c:pt idx="0">
                  <c:v>103</c:v>
                </c:pt>
                <c:pt idx="1">
                  <c:v>48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F7-4F8F-862C-63E1EC3E9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Charging Stations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region_wise_stations!$B$1</c:f>
              <c:strCache>
                <c:ptCount val="1"/>
                <c:pt idx="0">
                  <c:v>TotalStations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13-4716-A114-C72AC6C42E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13-4716-A114-C72AC6C42E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13-4716-A114-C72AC6C42E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13-4716-A114-C72AC6C42E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13-4716-A114-C72AC6C42E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13-4716-A114-C72AC6C42E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813-4716-A114-C72AC6C42E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813-4716-A114-C72AC6C42ED7}"/>
              </c:ext>
            </c:extLst>
          </c:dPt>
          <c:cat>
            <c:strRef>
              <c:f>region_wise_stations!$A$2:$A$9</c:f>
              <c:strCache>
                <c:ptCount val="8"/>
                <c:pt idx="0">
                  <c:v>NDMC</c:v>
                </c:pt>
                <c:pt idx="1">
                  <c:v>Noida Authority</c:v>
                </c:pt>
                <c:pt idx="2">
                  <c:v>SDMC</c:v>
                </c:pt>
                <c:pt idx="3">
                  <c:v>NKDA</c:v>
                </c:pt>
                <c:pt idx="4">
                  <c:v>CMRL</c:v>
                </c:pt>
                <c:pt idx="5">
                  <c:v>ANERT</c:v>
                </c:pt>
                <c:pt idx="6">
                  <c:v>NRANVP</c:v>
                </c:pt>
                <c:pt idx="7">
                  <c:v>Maha Metro</c:v>
                </c:pt>
              </c:strCache>
            </c:strRef>
          </c:cat>
          <c:val>
            <c:numRef>
              <c:f>region_wise_stations!$B$2:$B$9</c:f>
              <c:numCache>
                <c:formatCode>General</c:formatCode>
                <c:ptCount val="8"/>
                <c:pt idx="0">
                  <c:v>57</c:v>
                </c:pt>
                <c:pt idx="1">
                  <c:v>43</c:v>
                </c:pt>
                <c:pt idx="2">
                  <c:v>26</c:v>
                </c:pt>
                <c:pt idx="3">
                  <c:v>16</c:v>
                </c:pt>
                <c:pt idx="4">
                  <c:v>14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813-4716-A114-C72AC6C42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Electric Cars by Range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top10_range!$C$1</c:f>
              <c:strCache>
                <c:ptCount val="1"/>
                <c:pt idx="0">
                  <c:v>Range_Km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top10_range!$A$2:$B$11</c15:sqref>
                  </c15:fullRef>
                  <c15:levelRef>
                    <c15:sqref>top10_range!$B$2:$B$11</c15:sqref>
                  </c15:levelRef>
                </c:ext>
              </c:extLst>
              <c:f>top10_range!$B$2:$B$11</c:f>
              <c:strCache>
                <c:ptCount val="10"/>
                <c:pt idx="0">
                  <c:v>Roadster </c:v>
                </c:pt>
                <c:pt idx="1">
                  <c:v>Cybertruck Tri Motor</c:v>
                </c:pt>
                <c:pt idx="2">
                  <c:v>Air </c:v>
                </c:pt>
                <c:pt idx="3">
                  <c:v>One </c:v>
                </c:pt>
                <c:pt idx="4">
                  <c:v>Model S Long Range</c:v>
                </c:pt>
                <c:pt idx="5">
                  <c:v>Model S Performance</c:v>
                </c:pt>
                <c:pt idx="6">
                  <c:v>Cybertruck Dual Motor</c:v>
                </c:pt>
                <c:pt idx="7">
                  <c:v>Model 3 Long Range Dual Motor</c:v>
                </c:pt>
                <c:pt idx="8">
                  <c:v>Mustang Mach-E ER RWD</c:v>
                </c:pt>
                <c:pt idx="9">
                  <c:v>Model X Long Range</c:v>
                </c:pt>
              </c:strCache>
            </c:strRef>
          </c:cat>
          <c:val>
            <c:numRef>
              <c:f>top10_range!$C$2:$C$11</c:f>
              <c:numCache>
                <c:formatCode>General</c:formatCode>
                <c:ptCount val="10"/>
                <c:pt idx="0">
                  <c:v>970</c:v>
                </c:pt>
                <c:pt idx="1">
                  <c:v>750</c:v>
                </c:pt>
                <c:pt idx="2">
                  <c:v>610</c:v>
                </c:pt>
                <c:pt idx="3">
                  <c:v>575</c:v>
                </c:pt>
                <c:pt idx="4">
                  <c:v>515</c:v>
                </c:pt>
                <c:pt idx="5">
                  <c:v>505</c:v>
                </c:pt>
                <c:pt idx="6">
                  <c:v>460</c:v>
                </c:pt>
                <c:pt idx="7">
                  <c:v>450</c:v>
                </c:pt>
                <c:pt idx="8">
                  <c:v>450</c:v>
                </c:pt>
                <c:pt idx="9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B-4B9F-93C1-5EB163A3B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1477951"/>
        <c:axId val="2041525231"/>
      </c:barChart>
      <c:catAx>
        <c:axId val="1951477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525231"/>
        <c:crosses val="autoZero"/>
        <c:auto val="1"/>
        <c:lblAlgn val="ctr"/>
        <c:lblOffset val="100"/>
        <c:noMultiLvlLbl val="0"/>
      </c:catAx>
      <c:valAx>
        <c:axId val="204152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47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Brand-wise Electric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brand_wise_cars!$B$1</c:f>
              <c:strCache>
                <c:ptCount val="1"/>
                <c:pt idx="0">
                  <c:v>TotalCars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brand_wise_cars!$A$2:$A$11</c:f>
              <c:strCache>
                <c:ptCount val="10"/>
                <c:pt idx="0">
                  <c:v>Tesla </c:v>
                </c:pt>
                <c:pt idx="1">
                  <c:v>Audi </c:v>
                </c:pt>
                <c:pt idx="2">
                  <c:v>Volkswagen </c:v>
                </c:pt>
                <c:pt idx="3">
                  <c:v>Nissan </c:v>
                </c:pt>
                <c:pt idx="4">
                  <c:v>Skoda </c:v>
                </c:pt>
                <c:pt idx="5">
                  <c:v>Porsche </c:v>
                </c:pt>
                <c:pt idx="6">
                  <c:v>Kia </c:v>
                </c:pt>
                <c:pt idx="7">
                  <c:v>BMW </c:v>
                </c:pt>
                <c:pt idx="8">
                  <c:v>Ford </c:v>
                </c:pt>
                <c:pt idx="9">
                  <c:v>Mercedes </c:v>
                </c:pt>
              </c:strCache>
            </c:strRef>
          </c:cat>
          <c:val>
            <c:numRef>
              <c:f>brand_wise_cars!$B$2:$B$11</c:f>
              <c:numCache>
                <c:formatCode>General</c:formatCode>
                <c:ptCount val="10"/>
                <c:pt idx="0">
                  <c:v>13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6-44CB-BFEC-CD309CB3A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580303"/>
        <c:axId val="2041519951"/>
      </c:barChart>
      <c:catAx>
        <c:axId val="196658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519951"/>
        <c:crosses val="autoZero"/>
        <c:auto val="1"/>
        <c:lblAlgn val="ctr"/>
        <c:lblOffset val="100"/>
        <c:noMultiLvlLbl val="0"/>
      </c:catAx>
      <c:valAx>
        <c:axId val="204151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58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2</xdr:row>
      <xdr:rowOff>68580</xdr:rowOff>
    </xdr:from>
    <xdr:to>
      <xdr:col>22</xdr:col>
      <xdr:colOff>594360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CB09D3-C37A-4BC9-AA3F-F491FA76AA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3810</xdr:rowOff>
    </xdr:from>
    <xdr:to>
      <xdr:col>15</xdr:col>
      <xdr:colOff>228600</xdr:colOff>
      <xdr:row>23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8A84D-B423-4B1E-8083-8C2511351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449580</xdr:colOff>
      <xdr:row>1</xdr:row>
      <xdr:rowOff>167640</xdr:rowOff>
    </xdr:from>
    <xdr:to>
      <xdr:col>22</xdr:col>
      <xdr:colOff>449580</xdr:colOff>
      <xdr:row>30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1DA0DE-37FF-4C8B-9961-64215FDBFC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2</xdr:row>
      <xdr:rowOff>91440</xdr:rowOff>
    </xdr:from>
    <xdr:to>
      <xdr:col>22</xdr:col>
      <xdr:colOff>152400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4F5610-F49D-408D-B2F9-CA8B4D818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2</xdr:row>
      <xdr:rowOff>83820</xdr:rowOff>
    </xdr:from>
    <xdr:to>
      <xdr:col>22</xdr:col>
      <xdr:colOff>342900</xdr:colOff>
      <xdr:row>29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7DDBC1-1641-4266-AEB9-B63C00A3A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2</xdr:row>
      <xdr:rowOff>144780</xdr:rowOff>
    </xdr:from>
    <xdr:to>
      <xdr:col>22</xdr:col>
      <xdr:colOff>434340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BF5DD8-F5AF-4387-9FF7-22811653E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1</xdr:row>
      <xdr:rowOff>163830</xdr:rowOff>
    </xdr:from>
    <xdr:to>
      <xdr:col>21</xdr:col>
      <xdr:colOff>281940</xdr:colOff>
      <xdr:row>28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437142-3003-443F-85BD-8A55819FF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2E818-829E-49C8-A04E-04B5C1CCA050}">
  <dimension ref="A1:B2"/>
  <sheetViews>
    <sheetView workbookViewId="0">
      <selection sqref="A1:B2"/>
    </sheetView>
  </sheetViews>
  <sheetFormatPr defaultRowHeight="14.4" x14ac:dyDescent="0.3"/>
  <sheetData>
    <row r="1" spans="1:2" x14ac:dyDescent="0.3">
      <c r="A1" t="s">
        <v>65</v>
      </c>
      <c r="B1" t="s">
        <v>39</v>
      </c>
    </row>
    <row r="2" spans="1:2" x14ac:dyDescent="0.3">
      <c r="A2" t="s">
        <v>64</v>
      </c>
      <c r="B2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1D4B-B19B-4E15-AE62-CE1AD2661E0F}">
  <dimension ref="A1:C11"/>
  <sheetViews>
    <sheetView workbookViewId="0">
      <selection activeCell="K1" sqref="K1"/>
    </sheetView>
  </sheetViews>
  <sheetFormatPr defaultRowHeight="14.4" x14ac:dyDescent="0.3"/>
  <sheetData>
    <row r="1" spans="1:3" x14ac:dyDescent="0.3">
      <c r="A1" t="s">
        <v>63</v>
      </c>
      <c r="B1" t="s">
        <v>62</v>
      </c>
      <c r="C1" t="s">
        <v>61</v>
      </c>
    </row>
    <row r="2" spans="1:3" x14ac:dyDescent="0.3">
      <c r="A2" t="s">
        <v>60</v>
      </c>
      <c r="B2" t="s">
        <v>59</v>
      </c>
      <c r="C2">
        <f>--LEFT(B2,LEN(B2)-3)</f>
        <v>970</v>
      </c>
    </row>
    <row r="3" spans="1:3" x14ac:dyDescent="0.3">
      <c r="A3" t="s">
        <v>58</v>
      </c>
      <c r="B3" t="s">
        <v>57</v>
      </c>
      <c r="C3">
        <f>--LEFT(B3,LEN(B3)-3)</f>
        <v>750</v>
      </c>
    </row>
    <row r="4" spans="1:3" x14ac:dyDescent="0.3">
      <c r="A4" t="s">
        <v>56</v>
      </c>
      <c r="B4" t="s">
        <v>55</v>
      </c>
      <c r="C4">
        <f>--LEFT(B4,LEN(B4)-3)</f>
        <v>660</v>
      </c>
    </row>
    <row r="5" spans="1:3" x14ac:dyDescent="0.3">
      <c r="A5" t="s">
        <v>54</v>
      </c>
      <c r="B5" t="s">
        <v>53</v>
      </c>
      <c r="C5">
        <f>--LEFT(B5,LEN(B5)-3)</f>
        <v>640</v>
      </c>
    </row>
    <row r="6" spans="1:3" x14ac:dyDescent="0.3">
      <c r="A6" t="s">
        <v>52</v>
      </c>
      <c r="B6" t="s">
        <v>51</v>
      </c>
      <c r="C6">
        <f>--LEFT(B6,LEN(B6)-3)</f>
        <v>610</v>
      </c>
    </row>
    <row r="7" spans="1:3" x14ac:dyDescent="0.3">
      <c r="A7" t="s">
        <v>50</v>
      </c>
      <c r="B7" t="s">
        <v>49</v>
      </c>
      <c r="C7">
        <f>--LEFT(B7,LEN(B7)-3)</f>
        <v>575</v>
      </c>
    </row>
    <row r="8" spans="1:3" x14ac:dyDescent="0.3">
      <c r="A8" t="s">
        <v>48</v>
      </c>
      <c r="B8" t="s">
        <v>47</v>
      </c>
      <c r="C8">
        <f>--LEFT(B8,LEN(B8)-3)</f>
        <v>555</v>
      </c>
    </row>
    <row r="9" spans="1:3" x14ac:dyDescent="0.3">
      <c r="A9" t="s">
        <v>46</v>
      </c>
      <c r="B9" t="s">
        <v>45</v>
      </c>
      <c r="C9">
        <f>--LEFT(B9,LEN(B9)-3)</f>
        <v>540</v>
      </c>
    </row>
    <row r="10" spans="1:3" x14ac:dyDescent="0.3">
      <c r="A10" t="s">
        <v>44</v>
      </c>
      <c r="B10" t="s">
        <v>43</v>
      </c>
      <c r="C10">
        <f>--LEFT(B10,LEN(B10)-3)</f>
        <v>535</v>
      </c>
    </row>
    <row r="11" spans="1:3" x14ac:dyDescent="0.3">
      <c r="A11" t="s">
        <v>42</v>
      </c>
      <c r="B11" t="s">
        <v>41</v>
      </c>
      <c r="C11">
        <f>--LEFT(B11,LEN(B11)-3)</f>
        <v>530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15FC-24DA-4BB4-B4B1-A5F02D60FE01}">
  <dimension ref="A1:B4"/>
  <sheetViews>
    <sheetView workbookViewId="0">
      <selection sqref="A1:B4"/>
    </sheetView>
  </sheetViews>
  <sheetFormatPr defaultRowHeight="14.4" x14ac:dyDescent="0.3"/>
  <sheetData>
    <row r="1" spans="1:2" x14ac:dyDescent="0.3">
      <c r="A1" t="s">
        <v>40</v>
      </c>
      <c r="B1" t="s">
        <v>39</v>
      </c>
    </row>
    <row r="2" spans="1:2" x14ac:dyDescent="0.3">
      <c r="A2" t="s">
        <v>38</v>
      </c>
      <c r="B2">
        <v>103</v>
      </c>
    </row>
    <row r="3" spans="1:2" x14ac:dyDescent="0.3">
      <c r="A3" t="s">
        <v>37</v>
      </c>
      <c r="B3">
        <v>48</v>
      </c>
    </row>
    <row r="4" spans="1:2" x14ac:dyDescent="0.3">
      <c r="A4" t="s">
        <v>36</v>
      </c>
      <c r="B4">
        <v>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46434-3301-40B8-B5BC-F88FD57B66F6}">
  <dimension ref="A1:B9"/>
  <sheetViews>
    <sheetView workbookViewId="0">
      <selection activeCell="O5" sqref="O5"/>
    </sheetView>
  </sheetViews>
  <sheetFormatPr defaultRowHeight="14.4" x14ac:dyDescent="0.3"/>
  <sheetData>
    <row r="1" spans="1:2" x14ac:dyDescent="0.3">
      <c r="A1" t="s">
        <v>35</v>
      </c>
      <c r="B1" t="s">
        <v>34</v>
      </c>
    </row>
    <row r="2" spans="1:2" x14ac:dyDescent="0.3">
      <c r="A2" t="s">
        <v>33</v>
      </c>
      <c r="B2">
        <v>57</v>
      </c>
    </row>
    <row r="3" spans="1:2" x14ac:dyDescent="0.3">
      <c r="A3" t="s">
        <v>32</v>
      </c>
      <c r="B3">
        <v>43</v>
      </c>
    </row>
    <row r="4" spans="1:2" x14ac:dyDescent="0.3">
      <c r="A4" t="s">
        <v>31</v>
      </c>
      <c r="B4">
        <v>26</v>
      </c>
    </row>
    <row r="5" spans="1:2" x14ac:dyDescent="0.3">
      <c r="A5" t="s">
        <v>30</v>
      </c>
      <c r="B5">
        <v>16</v>
      </c>
    </row>
    <row r="6" spans="1:2" x14ac:dyDescent="0.3">
      <c r="A6" t="s">
        <v>29</v>
      </c>
      <c r="B6">
        <v>14</v>
      </c>
    </row>
    <row r="7" spans="1:2" x14ac:dyDescent="0.3">
      <c r="A7" t="s">
        <v>28</v>
      </c>
      <c r="B7">
        <v>6</v>
      </c>
    </row>
    <row r="8" spans="1:2" x14ac:dyDescent="0.3">
      <c r="A8" t="s">
        <v>27</v>
      </c>
      <c r="B8">
        <v>4</v>
      </c>
    </row>
    <row r="9" spans="1:2" x14ac:dyDescent="0.3">
      <c r="A9" t="s">
        <v>26</v>
      </c>
      <c r="B9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949A-A47D-45A2-BA8E-388591319F10}">
  <dimension ref="A1:C11"/>
  <sheetViews>
    <sheetView workbookViewId="0">
      <selection sqref="A1:C11"/>
    </sheetView>
  </sheetViews>
  <sheetFormatPr defaultRowHeight="14.4" x14ac:dyDescent="0.3"/>
  <sheetData>
    <row r="1" spans="1:3" x14ac:dyDescent="0.3">
      <c r="A1" t="s">
        <v>11</v>
      </c>
      <c r="B1" t="s">
        <v>25</v>
      </c>
      <c r="C1" t="s">
        <v>24</v>
      </c>
    </row>
    <row r="2" spans="1:3" x14ac:dyDescent="0.3">
      <c r="A2" t="s">
        <v>9</v>
      </c>
      <c r="B2" t="s">
        <v>23</v>
      </c>
      <c r="C2">
        <v>970</v>
      </c>
    </row>
    <row r="3" spans="1:3" x14ac:dyDescent="0.3">
      <c r="A3" t="s">
        <v>9</v>
      </c>
      <c r="B3" t="s">
        <v>22</v>
      </c>
      <c r="C3">
        <v>750</v>
      </c>
    </row>
    <row r="4" spans="1:3" x14ac:dyDescent="0.3">
      <c r="A4" t="s">
        <v>21</v>
      </c>
      <c r="B4" t="s">
        <v>20</v>
      </c>
      <c r="C4">
        <v>610</v>
      </c>
    </row>
    <row r="5" spans="1:3" x14ac:dyDescent="0.3">
      <c r="A5" t="s">
        <v>19</v>
      </c>
      <c r="B5" t="s">
        <v>18</v>
      </c>
      <c r="C5">
        <v>575</v>
      </c>
    </row>
    <row r="6" spans="1:3" x14ac:dyDescent="0.3">
      <c r="A6" t="s">
        <v>9</v>
      </c>
      <c r="B6" t="s">
        <v>17</v>
      </c>
      <c r="C6">
        <v>515</v>
      </c>
    </row>
    <row r="7" spans="1:3" x14ac:dyDescent="0.3">
      <c r="A7" t="s">
        <v>9</v>
      </c>
      <c r="B7" t="s">
        <v>16</v>
      </c>
      <c r="C7">
        <v>505</v>
      </c>
    </row>
    <row r="8" spans="1:3" x14ac:dyDescent="0.3">
      <c r="A8" t="s">
        <v>9</v>
      </c>
      <c r="B8" t="s">
        <v>15</v>
      </c>
      <c r="C8">
        <v>460</v>
      </c>
    </row>
    <row r="9" spans="1:3" x14ac:dyDescent="0.3">
      <c r="A9" t="s">
        <v>9</v>
      </c>
      <c r="B9" t="s">
        <v>14</v>
      </c>
      <c r="C9">
        <v>450</v>
      </c>
    </row>
    <row r="10" spans="1:3" x14ac:dyDescent="0.3">
      <c r="A10" t="s">
        <v>1</v>
      </c>
      <c r="B10" t="s">
        <v>13</v>
      </c>
      <c r="C10">
        <v>450</v>
      </c>
    </row>
    <row r="11" spans="1:3" x14ac:dyDescent="0.3">
      <c r="A11" t="s">
        <v>9</v>
      </c>
      <c r="B11" t="s">
        <v>12</v>
      </c>
      <c r="C11">
        <v>450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4C9B-19D4-47AC-A4B8-112A5B886675}">
  <dimension ref="A1:B11"/>
  <sheetViews>
    <sheetView tabSelected="1" workbookViewId="0">
      <selection activeCell="B16" sqref="B16"/>
    </sheetView>
  </sheetViews>
  <sheetFormatPr defaultRowHeight="14.4" x14ac:dyDescent="0.3"/>
  <sheetData>
    <row r="1" spans="1:2" x14ac:dyDescent="0.3">
      <c r="A1" t="s">
        <v>11</v>
      </c>
      <c r="B1" t="s">
        <v>10</v>
      </c>
    </row>
    <row r="2" spans="1:2" x14ac:dyDescent="0.3">
      <c r="A2" t="s">
        <v>9</v>
      </c>
      <c r="B2">
        <v>13</v>
      </c>
    </row>
    <row r="3" spans="1:2" x14ac:dyDescent="0.3">
      <c r="A3" t="s">
        <v>8</v>
      </c>
      <c r="B3">
        <v>9</v>
      </c>
    </row>
    <row r="4" spans="1:2" x14ac:dyDescent="0.3">
      <c r="A4" t="s">
        <v>7</v>
      </c>
      <c r="B4">
        <v>8</v>
      </c>
    </row>
    <row r="5" spans="1:2" x14ac:dyDescent="0.3">
      <c r="A5" t="s">
        <v>6</v>
      </c>
      <c r="B5">
        <v>8</v>
      </c>
    </row>
    <row r="6" spans="1:2" x14ac:dyDescent="0.3">
      <c r="A6" t="s">
        <v>5</v>
      </c>
      <c r="B6">
        <v>6</v>
      </c>
    </row>
    <row r="7" spans="1:2" x14ac:dyDescent="0.3">
      <c r="A7" t="s">
        <v>4</v>
      </c>
      <c r="B7">
        <v>5</v>
      </c>
    </row>
    <row r="8" spans="1:2" x14ac:dyDescent="0.3">
      <c r="A8" t="s">
        <v>3</v>
      </c>
      <c r="B8">
        <v>5</v>
      </c>
    </row>
    <row r="9" spans="1:2" x14ac:dyDescent="0.3">
      <c r="A9" t="s">
        <v>2</v>
      </c>
      <c r="B9">
        <v>4</v>
      </c>
    </row>
    <row r="10" spans="1:2" x14ac:dyDescent="0.3">
      <c r="A10" t="s">
        <v>1</v>
      </c>
      <c r="B10">
        <v>4</v>
      </c>
    </row>
    <row r="11" spans="1:2" x14ac:dyDescent="0.3">
      <c r="A11" t="s">
        <v>0</v>
      </c>
      <c r="B11">
        <v>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A3FF-63BA-4FE4-AE1C-8D0E8EC44864}">
  <dimension ref="A1"/>
  <sheetViews>
    <sheetView workbookViewId="0">
      <selection activeCell="H10" sqref="H1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vehicle_types_india</vt:lpstr>
      <vt:lpstr>highest_range_ev</vt:lpstr>
      <vt:lpstr>station_types</vt:lpstr>
      <vt:lpstr>region_wise_stations</vt:lpstr>
      <vt:lpstr>top10_range</vt:lpstr>
      <vt:lpstr>brand_wise_cars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RITHVIK</dc:creator>
  <cp:lastModifiedBy>RAKESH RITHVIK</cp:lastModifiedBy>
  <dcterms:created xsi:type="dcterms:W3CDTF">2026-07-05T14:25:33Z</dcterms:created>
  <dcterms:modified xsi:type="dcterms:W3CDTF">2026-07-05T14:52:52Z</dcterms:modified>
</cp:coreProperties>
</file>